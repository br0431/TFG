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841958f39dd33ccf/Desktop/"/>
    </mc:Choice>
  </mc:AlternateContent>
  <xr:revisionPtr revIDLastSave="0" documentId="11_8B7962D7BEAC1E0F7C001845AF1D0307CE54BD65" xr6:coauthVersionLast="47" xr6:coauthVersionMax="47" xr10:uidLastSave="{00000000-0000-0000-0000-000000000000}"/>
  <bookViews>
    <workbookView xWindow="-120" yWindow="-120" windowWidth="29040" windowHeight="15720" tabRatio="500" activeTab="1" xr2:uid="{00000000-000D-0000-FFFF-FFFF00000000}"/>
  </bookViews>
  <sheets>
    <sheet name="Castellano" sheetId="1" r:id="rId1"/>
    <sheet name="English" sheetId="2" r:id="rId2"/>
    <sheet name="Criterios" sheetId="3"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K22" i="1" l="1"/>
  <c r="H22" i="1"/>
  <c r="G22" i="1"/>
  <c r="K22" i="2"/>
  <c r="H22" i="2"/>
  <c r="G22" i="2"/>
</calcChain>
</file>

<file path=xl/sharedStrings.xml><?xml version="1.0" encoding="utf-8"?>
<sst xmlns="http://schemas.openxmlformats.org/spreadsheetml/2006/main" count="256" uniqueCount="172">
  <si>
    <t>Evaluación RAG  TFT Set 16  Castellano</t>
  </si>
  <si>
    <t>Nivel</t>
  </si>
  <si>
    <t>Pregunta</t>
  </si>
  <si>
    <t>Respuesta esperada</t>
  </si>
  <si>
    <t>Respuesta del sistema</t>
  </si>
  <si>
    <t>Documentos recuperados</t>
  </si>
  <si>
    <t>Documentos correctos (S/N)</t>
  </si>
  <si>
    <t>Precisión (1-5)</t>
  </si>
  <si>
    <t>Completitud (1-5)</t>
  </si>
  <si>
    <t>Idioma limpio (S/N)</t>
  </si>
  <si>
    <t>Notas</t>
  </si>
  <si>
    <t>BERTScore F1</t>
  </si>
  <si>
    <t>Nivel 1 : Consulta directa</t>
  </si>
  <si>
    <t>¿Qué hace el objeto Filo Infinito?</t>
  </si>
  <si>
    <t>Infinity Edge hace que las habilidades del portador puedan golpear críticamente. Si ya pueden, otorga un 10% de daño de impacto crítico adicional.</t>
  </si>
  <si>
    <t>El item Infinity Edge hace que las habilidades del portador puedan golpear críticamente. Si las habilidades ya pueden golpear críticamente, el portador obtiene un 10% de daño de impacto crítico en lugar de eso.</t>
  </si>
  <si>
    <t>DOC[1] type=item name=Infinity Edge</t>
  </si>
  <si>
    <t>S</t>
  </si>
  <si>
    <t>¿Cuáles son los las sinergias de Aatrox?</t>
  </si>
  <si>
    <t>Las sinergias de Aatrox son Darkin, World Ender y Slayer.</t>
  </si>
  <si>
    <t>Los traits de Aatrox son Darkin, World Ender y Slayer.</t>
  </si>
  <si>
    <t>DOC[1] type=champion name=Aatrox</t>
  </si>
  <si>
    <t>¿Con qué componentes se construye la Sanguinaria?</t>
  </si>
  <si>
    <t>Bloodthirster se construye con un Bfsword y una Negatroncloak.</t>
  </si>
  <si>
    <t>La Bloodthirster se construye con un Bfsword y una Negatroncloak.</t>
  </si>
  <si>
    <t>DOC[1] type=item name=Bloodthirster</t>
  </si>
  <si>
    <t>¿De qué coste es Fiddlesticks?</t>
  </si>
  <si>
    <t>Fiddlesticks es un campeón de coste 5.</t>
  </si>
  <si>
    <t>Fiddlesticks cuesta 5.</t>
  </si>
  <si>
    <t>DOC[1] type=champion name=Fiddlesticks</t>
  </si>
  <si>
    <t>¿Qué bonificaciones da la Mejora Azul?</t>
  </si>
  <si>
    <t>Blue Buff da un 15% de daño de ataque, 15 de poder de habilidad y 5 de regeneración de maná.</t>
  </si>
  <si>
    <t>La Blue Buff da un 10% de bonus adicional en Ataque y Poder Mágico desde todas las fuentes.</t>
  </si>
  <si>
    <t>DOC[1] type=item name=Blue Buff</t>
  </si>
  <si>
    <t>El LLM lee el campo description en vez de bonuses.</t>
  </si>
  <si>
    <t>Nivel 2 : Relacional</t>
  </si>
  <si>
    <t>¿Qué objetos son los mejores para Miss Fortune?</t>
  </si>
  <si>
    <t>Los mejores objetos para Miss Fortune son Captain's Brew, Dead Man's Dagger y First Mate's Flintlock.</t>
  </si>
  <si>
    <t>Los mejores items para Miss Fortune son Captain's Brew y Dead Man's Dagger.</t>
  </si>
  <si>
    <t>DOC[3] type=champion name=Miss Fortune</t>
  </si>
  <si>
    <t>Le ha faltado un objeto.</t>
  </si>
  <si>
    <t>¿Qué composición incluye a Sona y Poppy?</t>
  </si>
  <si>
    <t>La composición que incluye a Sona y Poppy es Demacia Lux.</t>
  </si>
  <si>
    <t>La composición que incluye a Sona y Poppy es la "Demacia Lux".</t>
  </si>
  <si>
    <t>DOC[1] type=comp name=Demacia Lux</t>
  </si>
  <si>
    <t>¿Qué diferencia hay entre Filo Mortal y Filo Infinito?</t>
  </si>
  <si>
    <t>Deathblade otorga daño físico y amplificación de daño, mientras que Infinity Edge otorga daño crítico y probabilidad de crítico.</t>
  </si>
  <si>
    <t>La diferencia entre Deathblade y Infinity Edge es que Deathblade otorga un aumento del 55% en AD (Ataque Físico) y un aumento del 10% en el daño, mientras que Infinity Edge otorga un aumento del 35% en AD y un aumento del 35% en la probabilidad de crítico.</t>
  </si>
  <si>
    <t>DOC[1] type=item name=Deathblade, DOC[2] type=item name=Infinity Edge</t>
  </si>
  <si>
    <t>Sorprendente resultado y muy correcto.</t>
  </si>
  <si>
    <t>¿Qué rol tiene el campeón Nautilus y el campeón Graves?</t>
  </si>
  <si>
    <t>Nautilus tiene el rol de Magic Tank y Graves tiene el rol de Attack Fighter.</t>
  </si>
  <si>
    <t>El campeón Nautilus tiene el rol de "Magic Tank" y el campeón Graves tiene el rol de "Attack Fighter".</t>
  </si>
  <si>
    <t>DOC[1] type=champion name=Graves, DOC[2] type=champion name=Nautilus</t>
  </si>
  <si>
    <t>¿El objeto Chaleco de Zarzas es bueno para un tanque?</t>
  </si>
  <si>
    <t>Sí, Bramble Vest es un buen objeto para un tanque porque le da armadura.</t>
  </si>
  <si>
    <t>El Bramble Vest es un buen item para un tanque porque le da armadura (+65) y reduce el daño recibido en ataques. Además, cuando es golpeado por cualquier ataque, hace daño mágico a los enemigos adyacentes.</t>
  </si>
  <si>
    <t>DOC[1] type=item name=Bramble Vest</t>
  </si>
  <si>
    <t>Nivel 3 : Razonamiento complejo</t>
  </si>
  <si>
    <t>Tengo un Espadón y una Lágrima de la Diosa, ¿qué objeto me fabrico y a quién se lo pongo?</t>
  </si>
  <si>
    <t>Fabricar la Spear of Shojin y equiparlo a un campeón que dependa del uso del maná.</t>
  </si>
  <si>
    <t>Con los componentes Bfsword y Tearofthegoddess, te fabricas un Spear of Shojin. Puedes equiparlo en cualquier campeón que lo necesite.</t>
  </si>
  <si>
    <t>DOC[2] type=item name=Spear of Shojin</t>
  </si>
  <si>
    <t>Le ha faltado mencionar que se usa en campeones que dependan del maná, interpretando que el objeto da maná.</t>
  </si>
  <si>
    <t>¿Qué composición me recomiendas si tengo a Garen, Lux y Poppy en mesa?</t>
  </si>
  <si>
    <t>Con Garen, Lux y Poppy en mesa se recomienda jugar la composición Demacia Lux.</t>
  </si>
  <si>
    <t>Con Garen, Lux y Poppy en el tablero, te recomiendo la composición "Demacia Lux". Esta composición incluye a Sona y otros campeones como Galio, Xin Zhao y Jarvan IV, que se complementan bien con los campeones que ya tienes. A nivel 9, se agrega Ornn a esta composición, lo que puede ser útil para completarla.</t>
  </si>
  <si>
    <t>Tengo Mejora Azul y Guantelete Enjoyado, ¿a qué campeón le viene mejor en una composición de Demacia?</t>
  </si>
  <si>
    <t>Lux es el campeón que más se beneficia ya que Blue Buff y Jeweled Gauntlet son sus objetos perfectos.</t>
  </si>
  <si>
    <t>Con Blue Buff y Jeweled Gauntlet, te recomiendo equipar a Lux en una composición de Demacia. Ambos objetos son parte de los mejores ítems para Lux, según su ficha.</t>
  </si>
  <si>
    <t>DOC[2] type=champion name=Lux</t>
  </si>
  <si>
    <t>Si mi rival lleva mucho daño mágico, ¿qué objetos son defensivos para este tipo de daño?</t>
  </si>
  <si>
    <t>Los objetos defensivos contra daño mágico son los que se fabrican con una Negatron Cloak.</t>
  </si>
  <si>
    <t>No hay información en los documentos sobre items defensivos contra daño mágico.</t>
  </si>
  <si>
    <t>Ninguno válido</t>
  </si>
  <si>
    <t>N</t>
  </si>
  <si>
    <t>Al ser una pregunta genérica no sabe encontrar la información, busca en objetos de manera general, recuperando 4 no relevantes.</t>
  </si>
  <si>
    <t>Si quiero que mi tanque tenga mucha vida, ¿es mejor el objeto Capa de Fuego Solar o Corazón Resuelto?</t>
  </si>
  <si>
    <t>Ambos son buenos, Steadfast Heart da más vida base (250) pero Sunfire Cape da más vida en total gracias a su pasiva.</t>
  </si>
  <si>
    <t>Si quieres que tu tanque tenga mucha vida, te recomiendo el item Steadfast Heart porque le da más vida (+250) en comparación con el Sunfire Cape (+150). Además, el Steadfast Heart tiene un bonus de durabilidad (+10%) mientras esté por encima del 50% de vida.</t>
  </si>
  <si>
    <t>DOC[1] type=item name=Sunfire Cape, DOC[2] type=item name=Steadfast Heart</t>
  </si>
  <si>
    <t>Le ha faltado interpretar la pasiva de la Capa de Fuego Solar y saber que da vida también.</t>
  </si>
  <si>
    <t>PROMEDIOS</t>
  </si>
  <si>
    <t>Evaluación RAG  TFT Set 16  English</t>
  </si>
  <si>
    <t>Docs recuperados (rag.log)</t>
  </si>
  <si>
    <t>Docs correctos (S/N)</t>
  </si>
  <si>
    <t>Nivel 1  Consulta directa</t>
  </si>
  <si>
    <t>What does the item Infinity Edge do?</t>
  </si>
  <si>
    <t>Infinity Edge allows the holder's abilities to critically strike. If they can already critically strike, it grants 10% additional Critical Strike Damage.</t>
  </si>
  <si>
    <t>Infinity Edge gives the holder's abilities a 35% chance to critically strike. If their abilities can already critically strike, it instead grants 10% Critical Strike Damage.</t>
  </si>
  <si>
    <t>What are Aatrox's traits?</t>
  </si>
  <si>
    <t>Aatrox's traits are Darkin, World Ender, and Slayer.</t>
  </si>
  <si>
    <t>Aatrox has the following traits: Darkin, World Ender, Slayer.</t>
  </si>
  <si>
    <t>What components is Bloodthirster built from?</t>
  </si>
  <si>
    <t>Bloodthirster is built from a Bfsword and a Negatroncloak.</t>
  </si>
  <si>
    <t>What cost is Fiddlesticks?</t>
  </si>
  <si>
    <t>Fiddlesticks is a 5 cost champion.</t>
  </si>
  <si>
    <t>Fiddlesticks costs 5.</t>
  </si>
  <si>
    <t>What bonuses does Blue Buff give?</t>
  </si>
  <si>
    <t>Blue Buff gives 15% Attack Damage, 15 Ability Power, and 5 Mana Regeneration.</t>
  </si>
  <si>
    <t>Blue buff gives a bonus to gain 10% additional Attack Damage and Ability Power from all sources.</t>
  </si>
  <si>
    <t>Mismo caso que en castellano, lee el campo que no es.</t>
  </si>
  <si>
    <t>Nivel 2  Relacional</t>
  </si>
  <si>
    <t>What are the best items for Miss Fortune?</t>
  </si>
  <si>
    <t>The best items for Miss Fortune are Captain's Brew, Dead Man's Dagger, and First Mate's Flintlock.</t>
  </si>
  <si>
    <t>Captain's Brew and Dead Man's Dagger are the best items for Miss Fortune.</t>
  </si>
  <si>
    <t>Le falta un objeto.</t>
  </si>
  <si>
    <t>What composition includes Sona and Poppy?</t>
  </si>
  <si>
    <t>The composition that includes Sona and Poppy is Demacia Lux.</t>
  </si>
  <si>
    <t>The composition that includes Sona is Demacia Lux.</t>
  </si>
  <si>
    <t>DOC[2] type=comp name=Demacia Lux</t>
  </si>
  <si>
    <t>What's the difference between Deathblade and Infinity Edge?</t>
  </si>
  <si>
    <t>Deathblade grants Attack Damage and damage amplification, while Infinity Edge grants Critical Strike Damage and Critical Strike Chance.</t>
  </si>
  <si>
    <t>Infinity Edge gives a bonus to Critical Chance and, if the holder's abilities can already critically strike, a bonus to Critical Strike Damage. Deathblade gives a bonus to Attack Damage and increases damage amplification by 10%.</t>
  </si>
  <si>
    <t>DOC[1] type=item name=Infinity Edge, DOC[2] type=item name=Deathblade</t>
  </si>
  <si>
    <t>What role does Nautilus and Graves have?</t>
  </si>
  <si>
    <t>Nautilus has the role of Magic Tank and Graves has the role of Attack Fighter.</t>
  </si>
  <si>
    <t>Nautilus is a Magic Tank. Graves is an Attack Fighter.</t>
  </si>
  <si>
    <t>DOC[3] type=champion name=Nautilus,  DOC[4] type=champion name=Graves</t>
  </si>
  <si>
    <t>Curioso que busque también en la colección de objetos sin ningún indicador claro para que busque ahí.</t>
  </si>
  <si>
    <t>Is Bramble Vest good for a tank?</t>
  </si>
  <si>
    <t>Yes, Bramble Vest is a good item for a tank because it provides armor.</t>
  </si>
  <si>
    <t>Bramble Vest is not typically considered a tank item. It provides some armor and health, but its primary effect deals magic damage to adjacent enemies when struck by an attack. For a tank, items like Warmog's Armor or the ones listed as best for Braum (such as Dragon's Claw) might be more suitable.</t>
  </si>
  <si>
    <t>Lo único que falla es en decir que no es un objeto para tanques. Muy interesante el resto de la respuesta.</t>
  </si>
  <si>
    <t>Nivel 3  Razonamiento complejo</t>
  </si>
  <si>
    <t>I have a Bfsword and a Tearofthegoddess, what item should I craft and who should hold it?</t>
  </si>
  <si>
    <t>Craft the Spear of Shojin and equip it to a champion that relies on the use of mana.</t>
  </si>
  <si>
    <t>You have a Bfsword and a Tear of the Goddess. I would recommend crafting the Spear of Shojin, as it requires both components. The holder should be a champion that benefits from the additional AD and AP provided by this item.</t>
  </si>
  <si>
    <t>What composition do you recommend if I have Garen, Lux and Poppy on board?</t>
  </si>
  <si>
    <t>With Garen, Lux and Poppy on board the recommended composition is Demacia Lux.</t>
  </si>
  <si>
    <t>Based on the champions you have on board (Garen, Lux, and Poppy), I would recommend a composition that synergizes with Demacia Lux. This comp is well-suited for Lux's abilities, and Garen can provide a strong frontline presence while Poppy offers crowd control. In this composition, Lux can take advantage of her abilities to deal magical damage from a distance, while Garen and Poppy work together to lock down enemies and protect Lux.</t>
  </si>
  <si>
    <t>Lo que ha añadido es información correcta. Muy buen resultado.</t>
  </si>
  <si>
    <t>I have Blue Buff and Jeweled Gauntlet, which champion benefits the most in a Demacia comp?</t>
  </si>
  <si>
    <t>Lux benefits the most because Blue Buff and Jeweled Gauntlet are her best in slot items.</t>
  </si>
  <si>
    <t>Based on the items you have (Blue Buff and Jeweled Gauntlet), I would recommend Lux as the champion who benefits the most in a Demacia comp. This is because Blue Buff is one of Lux's best items, and she synergizes well with other champions in the Demacia Lux composition.</t>
  </si>
  <si>
    <t>DOC[1] type=champion name=Lux, DOC[3] type=comp name=Demacia Lux</t>
  </si>
  <si>
    <t>If my opponent is dealing heavy magic damage, what items are defensive against that type of damage?</t>
  </si>
  <si>
    <t>Defensive items against magic damage are those built from a Negatron Cloak.</t>
  </si>
  <si>
    <t>If your opponent is dealing heavy magic damage, I would recommend using items that provide Magic Resistance (MR) or have a bonus that counters magical damage. Protector's Vow has a high MR value, but it also provides a shield at 40% Health, which can be beneficial in various situations. Evenshroud offers additional MR and a Sunder effect that reduces enemy armor, making it harder for them to deal physical damage. However, if you're looking specifically for items that counter magic damage, I couldn't find any information on such items in the provided documents.</t>
  </si>
  <si>
    <t>DOC[3] type=item name=Protector's Vow, DOC[4] type=item name=Evenshroud</t>
  </si>
  <si>
    <t>A diferencia del castellano, saca información valiosa de los docs recuperados. Tener en cuenta que puede haber sido casualidad recuperar los que justo tienen resistencia mágica.</t>
  </si>
  <si>
    <t>If I want my tank to have high health, is Sunfire Cape or Steadfast Heart better?</t>
  </si>
  <si>
    <t>Both are good, Steadfast Heart gives more base health (250) but Sunfire Cape gives more total health thanks to its passive.</t>
  </si>
  <si>
    <t>Based on the provided information, if you want your tank to have high health, I would recommend Steadfast Heart. It provides more health (+250) compared to Sunfire Cape (+150).</t>
  </si>
  <si>
    <t>Le ha faltado valorar la descripción del objeto para decidir cual era mejor.</t>
  </si>
  <si>
    <t>Criterios de evaluación</t>
  </si>
  <si>
    <t>PRECISIÓN (1-5)</t>
  </si>
  <si>
    <t>¿Lo que ha respondido el sistema es verdadero respecto a lo que se pregunta? Si los datos son correctos pero no responden a la pregunta concreta, se considera impreciso.</t>
  </si>
  <si>
    <t>1</t>
  </si>
  <si>
    <t>Respuesta incorrecta o completamente irrelevante para la pregunta.</t>
  </si>
  <si>
    <t>2</t>
  </si>
  <si>
    <t>Contiene datos del documento pero no responde a lo que se pregunta (ej: lee un campo equivocado del JSON).</t>
  </si>
  <si>
    <t>3</t>
  </si>
  <si>
    <t>Parcialmente correcta: algún dato es válido pero hay errores o confusiones.</t>
  </si>
  <si>
    <t>4</t>
  </si>
  <si>
    <t>Correcta con algún matiz menor impreciso o ambiguo.</t>
  </si>
  <si>
    <t>5</t>
  </si>
  <si>
    <t>Todos los datos que menciona son correctos y responden a la pregunta.</t>
  </si>
  <si>
    <t>COMPLETITUD (1-5)</t>
  </si>
  <si>
    <t>¿Ha cubierto toda la información relevante que estaba disponible en los documentos recuperados? Mide si el LLM ha aprovechado los datos que tenía, no si sabe cosas que no están en los docs.</t>
  </si>
  <si>
    <t>No menciona ninguno de los datos relevantes disponibles en los documentos.</t>
  </si>
  <si>
    <t>Menciona muy poco, se deja la mayor parte de la información relevante.</t>
  </si>
  <si>
    <t>Cubre aproximadamente la mitad de la información relevante disponible.</t>
  </si>
  <si>
    <t>Cubre la mayoría pero se deja algún dato relevante (ej: 2 de 3 objetos).</t>
  </si>
  <si>
    <t>Aprovecha toda la información relevante de los documentos recuperados.</t>
  </si>
  <si>
    <t>DOCS RECUPERADOS (rag.log)</t>
  </si>
  <si>
    <t>Se copian directamente desde el archivo rag/rag.log. El número del documento (DOC[1], DOC[2]...) indica el orden de recuperación: DOC[1] es el documento que ChromaDB consideró más relevante para la query, DOC[2] el segundo más relevante, y así sucesivamente.</t>
  </si>
  <si>
    <t>Ejemplo:  DOC[1] type=item name=Infinity Edge  |  DOC[2] type=item name=Jeweled Gauntlet</t>
  </si>
  <si>
    <t>DOCS CORRECTOS (S/N)</t>
  </si>
  <si>
    <t>¿Los documentos que ChromaDB recuperó son los que necesitaba el LLM para responder correctamente? S si al menos los docs principales son relevantes. N si ha traído docs que no tienen nada que ver con la pregunta.</t>
  </si>
  <si>
    <t>IDIOMA LIMPIO (S/N)</t>
  </si>
  <si>
    <t>¿La respuesta está en el mismo idioma que la pregunta sin mezclar? S si responde completamente en el idioma correcto. N si mezcla castellano con inglés o viceversa.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</si>
</sst>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11" x14ac:knownFonts="1">
    <font>
      <sz val="11"/>
      <color theme="1"/>
      <name val="Calibri"/>
      <family val="2"/>
      <charset val="1"/>
    </font>
    <font>
      <b/>
      <sz val="12"/>
      <color rgb="FF2F2F2F"/>
      <name val="Arial"/>
      <family val="2"/>
      <charset val="1"/>
    </font>
    <font>
      <b/>
      <sz val="10"/>
      <color rgb="FFFFFFFF"/>
      <name val="Arial"/>
      <charset val="1"/>
    </font>
    <font>
      <b/>
      <sz val="9"/>
      <color rgb="FF2F2F2F"/>
      <name val="Arial"/>
      <charset val="1"/>
    </font>
    <font>
      <b/>
      <sz val="9"/>
      <name val="Arial"/>
      <charset val="1"/>
    </font>
    <font>
      <sz val="9"/>
      <name val="Arial"/>
      <family val="2"/>
      <charset val="1"/>
    </font>
    <font>
      <sz val="9"/>
      <name val="Arial"/>
      <charset val="1"/>
    </font>
    <font>
      <b/>
      <sz val="10"/>
      <color rgb="FF2F2F2F"/>
      <name val="Arial"/>
      <charset val="1"/>
    </font>
    <font>
      <b/>
      <sz val="10"/>
      <name val="Arial"/>
      <charset val="1"/>
    </font>
    <font>
      <b/>
      <sz val="12"/>
      <color rgb="FF2F2F2F"/>
      <name val="Arial"/>
      <charset val="1"/>
    </font>
    <font>
      <i/>
      <sz val="9"/>
      <color rgb="FF666666"/>
      <name val="Arial"/>
      <charset val="1"/>
    </font>
  </fonts>
  <fills count="9">
    <fill>
      <patternFill patternType="none"/>
    </fill>
    <fill>
      <patternFill patternType="gray125"/>
    </fill>
    <fill>
      <patternFill patternType="solid">
        <fgColor rgb="FF2F2F2F"/>
        <bgColor rgb="FF333300"/>
      </patternFill>
    </fill>
    <fill>
      <patternFill patternType="solid">
        <fgColor rgb="FFE0E0E0"/>
        <bgColor rgb="FFE8F5E9"/>
      </patternFill>
    </fill>
    <fill>
      <patternFill patternType="solid">
        <fgColor rgb="FFE8F5E9"/>
        <bgColor rgb="FFF7F7F7"/>
      </patternFill>
    </fill>
    <fill>
      <patternFill patternType="solid">
        <fgColor rgb="FFFFFFFF"/>
        <bgColor rgb="FFF7F7F7"/>
      </patternFill>
    </fill>
    <fill>
      <patternFill patternType="solid">
        <fgColor rgb="FFFFF8E1"/>
        <bgColor rgb="FFF7F7F7"/>
      </patternFill>
    </fill>
    <fill>
      <patternFill patternType="solid">
        <fgColor rgb="FFFFEBEE"/>
        <bgColor rgb="FFF7F7F7"/>
      </patternFill>
    </fill>
    <fill>
      <patternFill patternType="solid">
        <fgColor rgb="FFF7F7F7"/>
        <bgColor rgb="FFFFFFFF"/>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s>
  <cellStyleXfs count="1">
    <xf numFmtId="0" fontId="0" fillId="0" borderId="0"/>
  </cellStyleXfs>
  <cellXfs count="26">
    <xf numFmtId="0" fontId="0" fillId="0" borderId="0" xfId="0"/>
    <xf numFmtId="0" fontId="10" fillId="0" borderId="1" xfId="0" applyFont="1" applyBorder="1" applyAlignment="1">
      <alignment vertical="top" wrapText="1"/>
    </xf>
    <xf numFmtId="0" fontId="6" fillId="0" borderId="1" xfId="0" applyFont="1" applyBorder="1" applyAlignment="1">
      <alignment vertical="top" wrapText="1"/>
    </xf>
    <xf numFmtId="0" fontId="7" fillId="3" borderId="1" xfId="0" applyFont="1" applyFill="1" applyBorder="1"/>
    <xf numFmtId="0" fontId="1" fillId="0" borderId="0" xfId="0" applyFont="1" applyAlignment="1">
      <alignment horizontal="left" vertical="center"/>
    </xf>
    <xf numFmtId="0" fontId="7" fillId="3" borderId="2" xfId="0" applyFont="1" applyFill="1" applyBorder="1" applyAlignment="1">
      <alignment horizontal="right" vertical="center"/>
    </xf>
    <xf numFmtId="0" fontId="3" fillId="3" borderId="2" xfId="0" applyFont="1" applyFill="1" applyBorder="1" applyAlignment="1">
      <alignment horizontal="left" vertical="center"/>
    </xf>
    <xf numFmtId="0" fontId="9" fillId="0" borderId="0" xfId="0" applyFont="1" applyAlignment="1">
      <alignment horizontal="left" vertical="center"/>
    </xf>
    <xf numFmtId="0" fontId="2" fillId="2" borderId="1" xfId="0" applyFont="1" applyFill="1" applyBorder="1" applyAlignment="1">
      <alignment horizontal="center" vertical="center" wrapText="1"/>
    </xf>
    <xf numFmtId="0" fontId="0" fillId="3" borderId="1" xfId="0" applyFill="1" applyBorder="1"/>
    <xf numFmtId="0" fontId="4" fillId="4" borderId="1" xfId="0" applyFont="1" applyFill="1" applyBorder="1" applyAlignment="1">
      <alignment horizontal="center" vertical="top"/>
    </xf>
    <xf numFmtId="0" fontId="5" fillId="4" borderId="1" xfId="0" applyFont="1" applyFill="1" applyBorder="1" applyAlignment="1">
      <alignment vertical="top" wrapText="1"/>
    </xf>
    <xf numFmtId="0" fontId="5" fillId="5" borderId="1" xfId="0" applyFont="1" applyFill="1" applyBorder="1" applyAlignment="1">
      <alignment vertical="top" wrapText="1"/>
    </xf>
    <xf numFmtId="0" fontId="6" fillId="5" borderId="1" xfId="0" applyFont="1" applyFill="1" applyBorder="1" applyAlignment="1">
      <alignment vertical="top" wrapText="1"/>
    </xf>
    <xf numFmtId="164" fontId="6" fillId="0" borderId="1" xfId="0" applyNumberFormat="1" applyFont="1" applyBorder="1" applyAlignment="1">
      <alignment horizontal="center"/>
    </xf>
    <xf numFmtId="0" fontId="4" fillId="6" borderId="1" xfId="0" applyFont="1" applyFill="1" applyBorder="1" applyAlignment="1">
      <alignment horizontal="center" vertical="top"/>
    </xf>
    <xf numFmtId="0" fontId="5" fillId="6" borderId="1" xfId="0" applyFont="1" applyFill="1" applyBorder="1" applyAlignment="1">
      <alignment vertical="top" wrapText="1"/>
    </xf>
    <xf numFmtId="0" fontId="6" fillId="6" borderId="1" xfId="0" applyFont="1" applyFill="1" applyBorder="1" applyAlignment="1">
      <alignment vertical="top" wrapText="1"/>
    </xf>
    <xf numFmtId="0" fontId="4" fillId="7" borderId="1" xfId="0" applyFont="1" applyFill="1" applyBorder="1" applyAlignment="1">
      <alignment horizontal="center" vertical="top"/>
    </xf>
    <xf numFmtId="0" fontId="6" fillId="7" borderId="1" xfId="0" applyFont="1" applyFill="1" applyBorder="1" applyAlignment="1">
      <alignment vertical="top" wrapText="1"/>
    </xf>
    <xf numFmtId="0" fontId="5" fillId="7" borderId="1" xfId="0" applyFont="1" applyFill="1" applyBorder="1" applyAlignment="1">
      <alignment vertical="top" wrapText="1"/>
    </xf>
    <xf numFmtId="165" fontId="8" fillId="3" borderId="1" xfId="0" applyNumberFormat="1" applyFont="1" applyFill="1" applyBorder="1" applyAlignment="1">
      <alignment horizontal="center" vertical="center"/>
    </xf>
    <xf numFmtId="164" fontId="8" fillId="3" borderId="1" xfId="0" applyNumberFormat="1" applyFont="1" applyFill="1" applyBorder="1" applyAlignment="1">
      <alignment horizontal="center"/>
    </xf>
    <xf numFmtId="0" fontId="6" fillId="0" borderId="1" xfId="0" applyFont="1" applyBorder="1" applyAlignment="1">
      <alignment vertical="top" wrapText="1"/>
    </xf>
    <xf numFmtId="0" fontId="0" fillId="0" borderId="1" xfId="0" applyBorder="1"/>
    <xf numFmtId="0" fontId="3" fillId="8" borderId="1" xfId="0" applyFont="1" applyFill="1" applyBorder="1" applyAlignment="1">
      <alignment horizontal="center" vertical="top"/>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8E1"/>
      <rgbColor rgb="FFE8F5E9"/>
      <rgbColor rgb="FF660066"/>
      <rgbColor rgb="FFFF8080"/>
      <rgbColor rgb="FF0066CC"/>
      <rgbColor rgb="FFE0E0E0"/>
      <rgbColor rgb="FF000080"/>
      <rgbColor rgb="FFFF00FF"/>
      <rgbColor rgb="FFFFFF00"/>
      <rgbColor rgb="FF00FFFF"/>
      <rgbColor rgb="FF800080"/>
      <rgbColor rgb="FF800000"/>
      <rgbColor rgb="FF008080"/>
      <rgbColor rgb="FF0000FF"/>
      <rgbColor rgb="FF00CCFF"/>
      <rgbColor rgb="FFF7F7F7"/>
      <rgbColor rgb="FFCCFFCC"/>
      <rgbColor rgb="FFFFEBEE"/>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2F2F2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F2F2F"/>
  </sheetPr>
  <dimension ref="A1:K22"/>
  <sheetViews>
    <sheetView zoomScaleNormal="100" workbookViewId="0">
      <pane ySplit="2" topLeftCell="A14" activePane="bottomLeft" state="frozen"/>
      <selection pane="bottomLeft" activeCell="C20" sqref="C20"/>
    </sheetView>
  </sheetViews>
  <sheetFormatPr baseColWidth="10" defaultColWidth="8.7109375" defaultRowHeight="15" x14ac:dyDescent="0.25"/>
  <cols>
    <col min="1" max="1" width="7" customWidth="1"/>
    <col min="2" max="2" width="42" customWidth="1"/>
    <col min="3" max="3" width="38" customWidth="1"/>
    <col min="4" max="4" width="42" customWidth="1"/>
    <col min="5" max="5" width="32" customWidth="1"/>
    <col min="6" max="6" width="16" customWidth="1"/>
    <col min="7" max="9" width="14" customWidth="1"/>
    <col min="10" max="10" width="30" customWidth="1"/>
    <col min="11" max="11" width="14" customWidth="1"/>
  </cols>
  <sheetData>
    <row r="1" spans="1:11" ht="30" customHeight="1" x14ac:dyDescent="0.25">
      <c r="A1" s="4" t="s">
        <v>0</v>
      </c>
      <c r="B1" s="4"/>
      <c r="C1" s="4"/>
      <c r="D1" s="4"/>
      <c r="E1" s="4"/>
      <c r="F1" s="4"/>
      <c r="G1" s="4"/>
      <c r="H1" s="4"/>
      <c r="I1" s="4"/>
      <c r="J1" s="4"/>
    </row>
    <row r="2" spans="1:11" ht="31.5" customHeight="1" x14ac:dyDescent="0.25">
      <c r="A2" s="8" t="s">
        <v>1</v>
      </c>
      <c r="B2" s="8" t="s">
        <v>2</v>
      </c>
      <c r="C2" s="8" t="s">
        <v>3</v>
      </c>
      <c r="D2" s="8" t="s">
        <v>4</v>
      </c>
      <c r="E2" s="8" t="s">
        <v>5</v>
      </c>
      <c r="F2" s="8" t="s">
        <v>6</v>
      </c>
      <c r="G2" s="8" t="s">
        <v>7</v>
      </c>
      <c r="H2" s="8" t="s">
        <v>8</v>
      </c>
      <c r="I2" s="8" t="s">
        <v>9</v>
      </c>
      <c r="J2" s="8" t="s">
        <v>10</v>
      </c>
      <c r="K2" s="8" t="s">
        <v>11</v>
      </c>
    </row>
    <row r="3" spans="1:11" ht="21.75" customHeight="1" x14ac:dyDescent="0.25">
      <c r="A3" s="6" t="s">
        <v>12</v>
      </c>
      <c r="B3" s="6"/>
      <c r="C3" s="6"/>
      <c r="D3" s="6"/>
      <c r="E3" s="6"/>
      <c r="F3" s="6"/>
      <c r="G3" s="6"/>
      <c r="H3" s="6"/>
      <c r="I3" s="6"/>
      <c r="J3" s="6"/>
      <c r="K3" s="9"/>
    </row>
    <row r="4" spans="1:11" ht="49.5" customHeight="1" x14ac:dyDescent="0.25">
      <c r="A4" s="10">
        <v>1</v>
      </c>
      <c r="B4" s="11" t="s">
        <v>13</v>
      </c>
      <c r="C4" s="12" t="s">
        <v>14</v>
      </c>
      <c r="D4" s="12" t="s">
        <v>15</v>
      </c>
      <c r="E4" s="12" t="s">
        <v>16</v>
      </c>
      <c r="F4" s="12" t="s">
        <v>17</v>
      </c>
      <c r="G4" s="13">
        <v>5</v>
      </c>
      <c r="H4" s="13">
        <v>5</v>
      </c>
      <c r="I4" s="13" t="s">
        <v>17</v>
      </c>
      <c r="J4" s="12"/>
      <c r="K4" s="14">
        <v>0.89170000000000005</v>
      </c>
    </row>
    <row r="5" spans="1:11" ht="49.5" customHeight="1" x14ac:dyDescent="0.25">
      <c r="A5" s="10">
        <v>1</v>
      </c>
      <c r="B5" s="11" t="s">
        <v>18</v>
      </c>
      <c r="C5" s="12" t="s">
        <v>19</v>
      </c>
      <c r="D5" s="12" t="s">
        <v>20</v>
      </c>
      <c r="E5" s="12" t="s">
        <v>21</v>
      </c>
      <c r="F5" s="13" t="s">
        <v>17</v>
      </c>
      <c r="G5" s="13">
        <v>5</v>
      </c>
      <c r="H5" s="13">
        <v>5</v>
      </c>
      <c r="I5" s="13" t="s">
        <v>17</v>
      </c>
      <c r="J5" s="12"/>
      <c r="K5" s="14">
        <v>0.95650000000000002</v>
      </c>
    </row>
    <row r="6" spans="1:11" ht="49.5" customHeight="1" x14ac:dyDescent="0.25">
      <c r="A6" s="10">
        <v>1</v>
      </c>
      <c r="B6" s="11" t="s">
        <v>22</v>
      </c>
      <c r="C6" s="12" t="s">
        <v>23</v>
      </c>
      <c r="D6" s="12" t="s">
        <v>24</v>
      </c>
      <c r="E6" s="12" t="s">
        <v>25</v>
      </c>
      <c r="F6" s="13" t="s">
        <v>17</v>
      </c>
      <c r="G6" s="13">
        <v>5</v>
      </c>
      <c r="H6" s="13">
        <v>5</v>
      </c>
      <c r="I6" s="12" t="s">
        <v>17</v>
      </c>
      <c r="J6" s="13"/>
      <c r="K6" s="14">
        <v>0.98580000000000001</v>
      </c>
    </row>
    <row r="7" spans="1:11" ht="49.5" customHeight="1" x14ac:dyDescent="0.25">
      <c r="A7" s="10">
        <v>1</v>
      </c>
      <c r="B7" s="11" t="s">
        <v>26</v>
      </c>
      <c r="C7" s="12" t="s">
        <v>27</v>
      </c>
      <c r="D7" s="12" t="s">
        <v>28</v>
      </c>
      <c r="E7" s="12" t="s">
        <v>29</v>
      </c>
      <c r="F7" s="13" t="s">
        <v>17</v>
      </c>
      <c r="G7" s="13">
        <v>5</v>
      </c>
      <c r="H7" s="13">
        <v>5</v>
      </c>
      <c r="I7" s="12" t="s">
        <v>17</v>
      </c>
      <c r="J7" s="12"/>
      <c r="K7" s="14">
        <v>0.84119999999999995</v>
      </c>
    </row>
    <row r="8" spans="1:11" ht="49.5" customHeight="1" x14ac:dyDescent="0.25">
      <c r="A8" s="10">
        <v>1</v>
      </c>
      <c r="B8" s="11" t="s">
        <v>30</v>
      </c>
      <c r="C8" s="12" t="s">
        <v>31</v>
      </c>
      <c r="D8" s="12" t="s">
        <v>32</v>
      </c>
      <c r="E8" s="12" t="s">
        <v>33</v>
      </c>
      <c r="F8" s="13" t="s">
        <v>17</v>
      </c>
      <c r="G8" s="13">
        <v>2</v>
      </c>
      <c r="H8" s="13">
        <v>1</v>
      </c>
      <c r="I8" s="13" t="s">
        <v>17</v>
      </c>
      <c r="J8" s="12" t="s">
        <v>34</v>
      </c>
      <c r="K8" s="14">
        <v>0.77049999999999996</v>
      </c>
    </row>
    <row r="9" spans="1:11" ht="21.75" customHeight="1" x14ac:dyDescent="0.25">
      <c r="A9" s="6" t="s">
        <v>35</v>
      </c>
      <c r="B9" s="6"/>
      <c r="C9" s="6"/>
      <c r="D9" s="6"/>
      <c r="E9" s="6"/>
      <c r="F9" s="6"/>
      <c r="G9" s="6"/>
      <c r="H9" s="6"/>
      <c r="I9" s="6"/>
      <c r="J9" s="6"/>
      <c r="K9" s="9"/>
    </row>
    <row r="10" spans="1:11" ht="49.5" customHeight="1" x14ac:dyDescent="0.25">
      <c r="A10" s="15">
        <v>2</v>
      </c>
      <c r="B10" s="16" t="s">
        <v>36</v>
      </c>
      <c r="C10" s="12" t="s">
        <v>37</v>
      </c>
      <c r="D10" s="12" t="s">
        <v>38</v>
      </c>
      <c r="E10" s="12" t="s">
        <v>39</v>
      </c>
      <c r="F10" s="13" t="s">
        <v>17</v>
      </c>
      <c r="G10" s="13">
        <v>5</v>
      </c>
      <c r="H10" s="13">
        <v>4</v>
      </c>
      <c r="I10" s="13" t="s">
        <v>17</v>
      </c>
      <c r="J10" s="12" t="s">
        <v>40</v>
      </c>
      <c r="K10" s="14">
        <v>0.96079999999999999</v>
      </c>
    </row>
    <row r="11" spans="1:11" ht="49.5" customHeight="1" x14ac:dyDescent="0.25">
      <c r="A11" s="15">
        <v>2</v>
      </c>
      <c r="B11" s="16" t="s">
        <v>41</v>
      </c>
      <c r="C11" s="12" t="s">
        <v>42</v>
      </c>
      <c r="D11" s="13" t="s">
        <v>43</v>
      </c>
      <c r="E11" s="13" t="s">
        <v>44</v>
      </c>
      <c r="F11" s="13" t="s">
        <v>17</v>
      </c>
      <c r="G11" s="13">
        <v>5</v>
      </c>
      <c r="H11" s="13">
        <v>5</v>
      </c>
      <c r="I11" s="13" t="s">
        <v>17</v>
      </c>
      <c r="J11" s="13"/>
      <c r="K11" s="14">
        <v>0.98309999999999997</v>
      </c>
    </row>
    <row r="12" spans="1:11" ht="49.5" customHeight="1" x14ac:dyDescent="0.25">
      <c r="A12" s="15">
        <v>2</v>
      </c>
      <c r="B12" s="17" t="s">
        <v>45</v>
      </c>
      <c r="C12" s="12" t="s">
        <v>46</v>
      </c>
      <c r="D12" s="13" t="s">
        <v>47</v>
      </c>
      <c r="E12" s="13" t="s">
        <v>48</v>
      </c>
      <c r="F12" s="13" t="s">
        <v>17</v>
      </c>
      <c r="G12" s="13">
        <v>5</v>
      </c>
      <c r="H12" s="13">
        <v>5</v>
      </c>
      <c r="I12" s="13" t="s">
        <v>17</v>
      </c>
      <c r="J12" s="13" t="s">
        <v>49</v>
      </c>
      <c r="K12" s="14">
        <v>0.77680000000000005</v>
      </c>
    </row>
    <row r="13" spans="1:11" ht="49.5" customHeight="1" x14ac:dyDescent="0.25">
      <c r="A13" s="15">
        <v>2</v>
      </c>
      <c r="B13" s="16" t="s">
        <v>50</v>
      </c>
      <c r="C13" s="12" t="s">
        <v>51</v>
      </c>
      <c r="D13" s="12" t="s">
        <v>52</v>
      </c>
      <c r="E13" s="12" t="s">
        <v>53</v>
      </c>
      <c r="F13" s="13" t="s">
        <v>17</v>
      </c>
      <c r="G13" s="13">
        <v>5</v>
      </c>
      <c r="H13" s="13">
        <v>5</v>
      </c>
      <c r="I13" s="13" t="s">
        <v>17</v>
      </c>
      <c r="J13" s="13"/>
      <c r="K13" s="14">
        <v>0.93459999999999999</v>
      </c>
    </row>
    <row r="14" spans="1:11" ht="49.5" customHeight="1" x14ac:dyDescent="0.25">
      <c r="A14" s="15">
        <v>2</v>
      </c>
      <c r="B14" s="16" t="s">
        <v>54</v>
      </c>
      <c r="C14" s="12" t="s">
        <v>55</v>
      </c>
      <c r="D14" s="12" t="s">
        <v>56</v>
      </c>
      <c r="E14" s="12" t="s">
        <v>57</v>
      </c>
      <c r="F14" s="13" t="s">
        <v>17</v>
      </c>
      <c r="G14" s="13">
        <v>5</v>
      </c>
      <c r="H14" s="13">
        <v>5</v>
      </c>
      <c r="I14" s="13" t="s">
        <v>17</v>
      </c>
      <c r="J14" s="13"/>
      <c r="K14" s="14">
        <v>0.80830000000000002</v>
      </c>
    </row>
    <row r="15" spans="1:11" ht="21.75" customHeight="1" x14ac:dyDescent="0.25">
      <c r="A15" s="6" t="s">
        <v>58</v>
      </c>
      <c r="B15" s="6"/>
      <c r="C15" s="6"/>
      <c r="D15" s="6"/>
      <c r="E15" s="6"/>
      <c r="F15" s="6"/>
      <c r="G15" s="6"/>
      <c r="H15" s="6"/>
      <c r="I15" s="6"/>
      <c r="J15" s="6"/>
      <c r="K15" s="9"/>
    </row>
    <row r="16" spans="1:11" ht="49.5" customHeight="1" x14ac:dyDescent="0.25">
      <c r="A16" s="18">
        <v>3</v>
      </c>
      <c r="B16" s="19" t="s">
        <v>59</v>
      </c>
      <c r="C16" s="12" t="s">
        <v>60</v>
      </c>
      <c r="D16" s="13" t="s">
        <v>61</v>
      </c>
      <c r="E16" s="13" t="s">
        <v>62</v>
      </c>
      <c r="F16" s="13" t="s">
        <v>17</v>
      </c>
      <c r="G16" s="13">
        <v>5</v>
      </c>
      <c r="H16" s="13">
        <v>4</v>
      </c>
      <c r="I16" s="13" t="s">
        <v>17</v>
      </c>
      <c r="J16" s="13" t="s">
        <v>63</v>
      </c>
      <c r="K16" s="14">
        <v>0.76249999999999996</v>
      </c>
    </row>
    <row r="17" spans="1:11" ht="49.5" customHeight="1" x14ac:dyDescent="0.25">
      <c r="A17" s="18">
        <v>3</v>
      </c>
      <c r="B17" s="19" t="s">
        <v>64</v>
      </c>
      <c r="C17" s="12" t="s">
        <v>65</v>
      </c>
      <c r="D17" s="12" t="s">
        <v>66</v>
      </c>
      <c r="E17" s="12" t="s">
        <v>44</v>
      </c>
      <c r="F17" s="13" t="s">
        <v>17</v>
      </c>
      <c r="G17" s="13">
        <v>5</v>
      </c>
      <c r="H17" s="13">
        <v>5</v>
      </c>
      <c r="I17" s="13" t="s">
        <v>17</v>
      </c>
      <c r="J17" s="13"/>
      <c r="K17" s="14">
        <v>0.78590000000000004</v>
      </c>
    </row>
    <row r="18" spans="1:11" ht="49.5" customHeight="1" x14ac:dyDescent="0.25">
      <c r="A18" s="18">
        <v>3</v>
      </c>
      <c r="B18" s="20" t="s">
        <v>67</v>
      </c>
      <c r="C18" s="12" t="s">
        <v>68</v>
      </c>
      <c r="D18" s="12" t="s">
        <v>69</v>
      </c>
      <c r="E18" s="12" t="s">
        <v>70</v>
      </c>
      <c r="F18" s="13" t="s">
        <v>17</v>
      </c>
      <c r="G18" s="13">
        <v>5</v>
      </c>
      <c r="H18" s="13">
        <v>5</v>
      </c>
      <c r="I18" s="13" t="s">
        <v>17</v>
      </c>
      <c r="J18" s="13"/>
      <c r="K18" s="14">
        <v>0.7641</v>
      </c>
    </row>
    <row r="19" spans="1:11" ht="49.5" customHeight="1" x14ac:dyDescent="0.25">
      <c r="A19" s="18">
        <v>3</v>
      </c>
      <c r="B19" s="20" t="s">
        <v>71</v>
      </c>
      <c r="C19" s="12" t="s">
        <v>72</v>
      </c>
      <c r="D19" s="12" t="s">
        <v>73</v>
      </c>
      <c r="E19" s="12" t="s">
        <v>74</v>
      </c>
      <c r="F19" s="13" t="s">
        <v>75</v>
      </c>
      <c r="G19" s="13">
        <v>0</v>
      </c>
      <c r="H19" s="13">
        <v>0</v>
      </c>
      <c r="I19" s="13" t="s">
        <v>17</v>
      </c>
      <c r="J19" s="12" t="s">
        <v>76</v>
      </c>
      <c r="K19" s="14">
        <v>0.80179999999999996</v>
      </c>
    </row>
    <row r="20" spans="1:11" ht="49.5" customHeight="1" x14ac:dyDescent="0.25">
      <c r="A20" s="18">
        <v>3</v>
      </c>
      <c r="B20" s="20" t="s">
        <v>77</v>
      </c>
      <c r="C20" s="12" t="s">
        <v>78</v>
      </c>
      <c r="D20" s="12" t="s">
        <v>79</v>
      </c>
      <c r="E20" s="12" t="s">
        <v>80</v>
      </c>
      <c r="F20" s="13" t="s">
        <v>17</v>
      </c>
      <c r="G20" s="13">
        <v>5</v>
      </c>
      <c r="H20" s="13">
        <v>4</v>
      </c>
      <c r="I20" s="13" t="s">
        <v>17</v>
      </c>
      <c r="J20" s="12" t="s">
        <v>81</v>
      </c>
      <c r="K20" s="14">
        <v>0.72799999999999998</v>
      </c>
    </row>
    <row r="22" spans="1:11" x14ac:dyDescent="0.25">
      <c r="A22" s="5" t="s">
        <v>82</v>
      </c>
      <c r="B22" s="5"/>
      <c r="C22" s="5"/>
      <c r="D22" s="5"/>
      <c r="E22" s="5"/>
      <c r="F22" s="5"/>
      <c r="G22" s="21">
        <f>IFERROR(AVERAGE(G4:G20),"-")</f>
        <v>4.4666666666666668</v>
      </c>
      <c r="H22" s="21">
        <f>IFERROR(AVERAGE(H4:H20),"-")</f>
        <v>4.2</v>
      </c>
      <c r="K22" s="22">
        <f>IFERROR(AVERAGE(K4:K20),"-")</f>
        <v>0.85010666666666679</v>
      </c>
    </row>
  </sheetData>
  <mergeCells count="5">
    <mergeCell ref="A1:J1"/>
    <mergeCell ref="A3:J3"/>
    <mergeCell ref="A9:J9"/>
    <mergeCell ref="A15:J15"/>
    <mergeCell ref="A22:F22"/>
  </mergeCells>
  <dataValidations count="2">
    <dataValidation type="list" allowBlank="1" errorTitle="Valor no válido" error="Solo S o N" sqref="F4:F20 I4:I20" xr:uid="{00000000-0002-0000-0000-000000000000}">
      <formula1>"S,N"</formula1>
      <formula2>0</formula2>
    </dataValidation>
    <dataValidation type="whole" allowBlank="1" errorTitle="Valor no válido" error="Puntuación entre 1 y 5" sqref="G4:H20" xr:uid="{00000000-0002-0000-0000-000001000000}">
      <formula1>1</formula1>
      <formula2>5</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F2F2F"/>
  </sheetPr>
  <dimension ref="A1:K22"/>
  <sheetViews>
    <sheetView tabSelected="1" zoomScaleNormal="100" workbookViewId="0">
      <pane ySplit="2" topLeftCell="A7" activePane="bottomLeft" state="frozen"/>
      <selection pane="bottomLeft" activeCell="J20" sqref="J20"/>
    </sheetView>
  </sheetViews>
  <sheetFormatPr baseColWidth="10" defaultColWidth="8.7109375" defaultRowHeight="15" x14ac:dyDescent="0.25"/>
  <cols>
    <col min="1" max="1" width="7" customWidth="1"/>
    <col min="2" max="2" width="42" customWidth="1"/>
    <col min="3" max="3" width="38" customWidth="1"/>
    <col min="4" max="4" width="42" customWidth="1"/>
    <col min="5" max="5" width="32" customWidth="1"/>
    <col min="6" max="6" width="16" customWidth="1"/>
    <col min="7" max="9" width="14" customWidth="1"/>
    <col min="10" max="10" width="30" customWidth="1"/>
    <col min="11" max="11" width="14" customWidth="1"/>
  </cols>
  <sheetData>
    <row r="1" spans="1:11" ht="30" customHeight="1" x14ac:dyDescent="0.25">
      <c r="A1" s="7" t="s">
        <v>83</v>
      </c>
      <c r="B1" s="7"/>
      <c r="C1" s="7"/>
      <c r="D1" s="7"/>
      <c r="E1" s="7"/>
      <c r="F1" s="7"/>
      <c r="G1" s="7"/>
      <c r="H1" s="7"/>
      <c r="I1" s="7"/>
      <c r="J1" s="7"/>
    </row>
    <row r="2" spans="1:11" ht="31.5" customHeight="1" x14ac:dyDescent="0.25">
      <c r="A2" s="8" t="s">
        <v>1</v>
      </c>
      <c r="B2" s="8" t="s">
        <v>2</v>
      </c>
      <c r="C2" s="8" t="s">
        <v>3</v>
      </c>
      <c r="D2" s="8" t="s">
        <v>4</v>
      </c>
      <c r="E2" s="8" t="s">
        <v>84</v>
      </c>
      <c r="F2" s="8" t="s">
        <v>85</v>
      </c>
      <c r="G2" s="8" t="s">
        <v>7</v>
      </c>
      <c r="H2" s="8" t="s">
        <v>8</v>
      </c>
      <c r="I2" s="8" t="s">
        <v>9</v>
      </c>
      <c r="J2" s="8" t="s">
        <v>10</v>
      </c>
      <c r="K2" s="8" t="s">
        <v>11</v>
      </c>
    </row>
    <row r="3" spans="1:11" ht="21.75" customHeight="1" x14ac:dyDescent="0.25">
      <c r="A3" s="6" t="s">
        <v>86</v>
      </c>
      <c r="B3" s="6"/>
      <c r="C3" s="6"/>
      <c r="D3" s="6"/>
      <c r="E3" s="6"/>
      <c r="F3" s="6"/>
      <c r="G3" s="6"/>
      <c r="H3" s="6"/>
      <c r="I3" s="6"/>
      <c r="J3" s="6"/>
      <c r="K3" s="9"/>
    </row>
    <row r="4" spans="1:11" ht="49.5" customHeight="1" x14ac:dyDescent="0.25">
      <c r="A4" s="10">
        <v>1</v>
      </c>
      <c r="B4" s="11" t="s">
        <v>87</v>
      </c>
      <c r="C4" s="12" t="s">
        <v>88</v>
      </c>
      <c r="D4" s="12" t="s">
        <v>89</v>
      </c>
      <c r="E4" s="12" t="s">
        <v>16</v>
      </c>
      <c r="F4" s="13" t="s">
        <v>17</v>
      </c>
      <c r="G4" s="13">
        <v>5</v>
      </c>
      <c r="H4" s="13">
        <v>5</v>
      </c>
      <c r="I4" s="13" t="s">
        <v>17</v>
      </c>
      <c r="J4" s="13"/>
      <c r="K4" s="14">
        <v>0.9355</v>
      </c>
    </row>
    <row r="5" spans="1:11" ht="49.5" customHeight="1" x14ac:dyDescent="0.25">
      <c r="A5" s="10">
        <v>1</v>
      </c>
      <c r="B5" s="11" t="s">
        <v>90</v>
      </c>
      <c r="C5" s="12" t="s">
        <v>91</v>
      </c>
      <c r="D5" s="12" t="s">
        <v>92</v>
      </c>
      <c r="E5" s="12" t="s">
        <v>21</v>
      </c>
      <c r="F5" s="13" t="s">
        <v>17</v>
      </c>
      <c r="G5" s="13">
        <v>5</v>
      </c>
      <c r="H5" s="13">
        <v>5</v>
      </c>
      <c r="I5" s="13" t="s">
        <v>17</v>
      </c>
      <c r="J5" s="13"/>
      <c r="K5" s="14">
        <v>0.90700000000000003</v>
      </c>
    </row>
    <row r="6" spans="1:11" ht="49.5" customHeight="1" x14ac:dyDescent="0.25">
      <c r="A6" s="10">
        <v>1</v>
      </c>
      <c r="B6" s="11" t="s">
        <v>93</v>
      </c>
      <c r="C6" s="12" t="s">
        <v>94</v>
      </c>
      <c r="D6" s="12" t="s">
        <v>94</v>
      </c>
      <c r="E6" s="12" t="s">
        <v>25</v>
      </c>
      <c r="F6" s="13" t="s">
        <v>17</v>
      </c>
      <c r="G6" s="13">
        <v>5</v>
      </c>
      <c r="H6" s="13">
        <v>5</v>
      </c>
      <c r="I6" s="13" t="s">
        <v>17</v>
      </c>
      <c r="J6" s="13"/>
      <c r="K6" s="14">
        <v>1</v>
      </c>
    </row>
    <row r="7" spans="1:11" ht="49.5" customHeight="1" x14ac:dyDescent="0.25">
      <c r="A7" s="10">
        <v>1</v>
      </c>
      <c r="B7" s="11" t="s">
        <v>95</v>
      </c>
      <c r="C7" s="12" t="s">
        <v>96</v>
      </c>
      <c r="D7" s="12" t="s">
        <v>97</v>
      </c>
      <c r="E7" s="12" t="s">
        <v>29</v>
      </c>
      <c r="F7" s="13" t="s">
        <v>17</v>
      </c>
      <c r="G7" s="13">
        <v>5</v>
      </c>
      <c r="H7" s="13">
        <v>5</v>
      </c>
      <c r="I7" s="13" t="s">
        <v>17</v>
      </c>
      <c r="J7" s="13"/>
      <c r="K7" s="14">
        <v>0.81059999999999999</v>
      </c>
    </row>
    <row r="8" spans="1:11" ht="49.5" customHeight="1" x14ac:dyDescent="0.25">
      <c r="A8" s="10">
        <v>1</v>
      </c>
      <c r="B8" s="11" t="s">
        <v>98</v>
      </c>
      <c r="C8" s="12" t="s">
        <v>99</v>
      </c>
      <c r="D8" s="12" t="s">
        <v>100</v>
      </c>
      <c r="E8" s="12" t="s">
        <v>33</v>
      </c>
      <c r="F8" s="13" t="s">
        <v>17</v>
      </c>
      <c r="G8" s="13">
        <v>2</v>
      </c>
      <c r="H8" s="13">
        <v>1</v>
      </c>
      <c r="I8" s="13" t="s">
        <v>17</v>
      </c>
      <c r="J8" s="12" t="s">
        <v>101</v>
      </c>
      <c r="K8" s="14">
        <v>0.8427</v>
      </c>
    </row>
    <row r="9" spans="1:11" ht="21.75" customHeight="1" x14ac:dyDescent="0.25">
      <c r="A9" s="6" t="s">
        <v>102</v>
      </c>
      <c r="B9" s="6"/>
      <c r="C9" s="6"/>
      <c r="D9" s="6"/>
      <c r="E9" s="6"/>
      <c r="F9" s="6"/>
      <c r="G9" s="6"/>
      <c r="H9" s="6"/>
      <c r="I9" s="6"/>
      <c r="J9" s="6"/>
      <c r="K9" s="9"/>
    </row>
    <row r="10" spans="1:11" ht="49.5" customHeight="1" x14ac:dyDescent="0.25">
      <c r="A10" s="15">
        <v>2</v>
      </c>
      <c r="B10" s="16" t="s">
        <v>103</v>
      </c>
      <c r="C10" s="12" t="s">
        <v>104</v>
      </c>
      <c r="D10" s="12" t="s">
        <v>105</v>
      </c>
      <c r="E10" s="12" t="s">
        <v>39</v>
      </c>
      <c r="F10" s="13" t="s">
        <v>17</v>
      </c>
      <c r="G10" s="13">
        <v>5</v>
      </c>
      <c r="H10" s="13">
        <v>4</v>
      </c>
      <c r="I10" s="13" t="s">
        <v>17</v>
      </c>
      <c r="J10" s="12" t="s">
        <v>106</v>
      </c>
      <c r="K10" s="14">
        <v>0.90190000000000003</v>
      </c>
    </row>
    <row r="11" spans="1:11" ht="49.5" customHeight="1" x14ac:dyDescent="0.25">
      <c r="A11" s="15">
        <v>2</v>
      </c>
      <c r="B11" s="16" t="s">
        <v>107</v>
      </c>
      <c r="C11" s="12" t="s">
        <v>108</v>
      </c>
      <c r="D11" s="12" t="s">
        <v>109</v>
      </c>
      <c r="E11" s="12" t="s">
        <v>110</v>
      </c>
      <c r="F11" s="13" t="s">
        <v>17</v>
      </c>
      <c r="G11" s="13">
        <v>5</v>
      </c>
      <c r="H11" s="13">
        <v>5</v>
      </c>
      <c r="I11" s="13" t="s">
        <v>17</v>
      </c>
      <c r="J11" s="13"/>
      <c r="K11" s="14">
        <v>0.93510000000000004</v>
      </c>
    </row>
    <row r="12" spans="1:11" ht="49.5" customHeight="1" x14ac:dyDescent="0.25">
      <c r="A12" s="15">
        <v>2</v>
      </c>
      <c r="B12" s="16" t="s">
        <v>111</v>
      </c>
      <c r="C12" s="12" t="s">
        <v>112</v>
      </c>
      <c r="D12" s="12" t="s">
        <v>113</v>
      </c>
      <c r="E12" s="12" t="s">
        <v>114</v>
      </c>
      <c r="F12" s="13" t="s">
        <v>17</v>
      </c>
      <c r="G12" s="13">
        <v>5</v>
      </c>
      <c r="H12" s="13">
        <v>5</v>
      </c>
      <c r="I12" s="13" t="s">
        <v>17</v>
      </c>
      <c r="J12" s="13"/>
      <c r="K12" s="14">
        <v>0.8075</v>
      </c>
    </row>
    <row r="13" spans="1:11" ht="49.5" customHeight="1" x14ac:dyDescent="0.25">
      <c r="A13" s="15">
        <v>2</v>
      </c>
      <c r="B13" s="16" t="s">
        <v>115</v>
      </c>
      <c r="C13" s="12" t="s">
        <v>116</v>
      </c>
      <c r="D13" s="12" t="s">
        <v>117</v>
      </c>
      <c r="E13" s="12" t="s">
        <v>118</v>
      </c>
      <c r="F13" s="13" t="s">
        <v>17</v>
      </c>
      <c r="G13" s="13">
        <v>5</v>
      </c>
      <c r="H13" s="13">
        <v>5</v>
      </c>
      <c r="I13" s="13" t="s">
        <v>17</v>
      </c>
      <c r="J13" s="12" t="s">
        <v>119</v>
      </c>
      <c r="K13" s="14">
        <v>0.86370000000000002</v>
      </c>
    </row>
    <row r="14" spans="1:11" ht="49.5" customHeight="1" x14ac:dyDescent="0.25">
      <c r="A14" s="15">
        <v>2</v>
      </c>
      <c r="B14" s="16" t="s">
        <v>120</v>
      </c>
      <c r="C14" s="12" t="s">
        <v>121</v>
      </c>
      <c r="D14" s="12" t="s">
        <v>122</v>
      </c>
      <c r="E14" s="12" t="s">
        <v>57</v>
      </c>
      <c r="F14" s="13" t="s">
        <v>17</v>
      </c>
      <c r="G14" s="13">
        <v>5</v>
      </c>
      <c r="H14" s="13">
        <v>4</v>
      </c>
      <c r="I14" s="13" t="s">
        <v>17</v>
      </c>
      <c r="J14" s="12" t="s">
        <v>123</v>
      </c>
      <c r="K14" s="14">
        <v>0.75319999999999998</v>
      </c>
    </row>
    <row r="15" spans="1:11" ht="21.75" customHeight="1" x14ac:dyDescent="0.25">
      <c r="A15" s="6" t="s">
        <v>124</v>
      </c>
      <c r="B15" s="6"/>
      <c r="C15" s="6"/>
      <c r="D15" s="6"/>
      <c r="E15" s="6"/>
      <c r="F15" s="6"/>
      <c r="G15" s="6"/>
      <c r="H15" s="6"/>
      <c r="I15" s="6"/>
      <c r="J15" s="6"/>
      <c r="K15" s="9"/>
    </row>
    <row r="16" spans="1:11" ht="49.5" customHeight="1" x14ac:dyDescent="0.25">
      <c r="A16" s="18">
        <v>3</v>
      </c>
      <c r="B16" s="20" t="s">
        <v>125</v>
      </c>
      <c r="C16" s="12" t="s">
        <v>126</v>
      </c>
      <c r="D16" s="12" t="s">
        <v>127</v>
      </c>
      <c r="E16" s="12" t="s">
        <v>62</v>
      </c>
      <c r="F16" s="13" t="s">
        <v>17</v>
      </c>
      <c r="G16" s="13">
        <v>5</v>
      </c>
      <c r="H16" s="13">
        <v>5</v>
      </c>
      <c r="I16" s="13" t="s">
        <v>17</v>
      </c>
      <c r="J16" s="13"/>
      <c r="K16" s="14">
        <v>0.73119999999999996</v>
      </c>
    </row>
    <row r="17" spans="1:11" ht="49.5" customHeight="1" x14ac:dyDescent="0.25">
      <c r="A17" s="18">
        <v>3</v>
      </c>
      <c r="B17" s="20" t="s">
        <v>128</v>
      </c>
      <c r="C17" s="12" t="s">
        <v>129</v>
      </c>
      <c r="D17" s="12" t="s">
        <v>130</v>
      </c>
      <c r="E17" s="12" t="s">
        <v>44</v>
      </c>
      <c r="F17" s="13" t="s">
        <v>17</v>
      </c>
      <c r="G17" s="13">
        <v>5</v>
      </c>
      <c r="H17" s="13">
        <v>5</v>
      </c>
      <c r="I17" s="13" t="s">
        <v>17</v>
      </c>
      <c r="J17" s="12" t="s">
        <v>131</v>
      </c>
      <c r="K17" s="14">
        <v>0.70430000000000004</v>
      </c>
    </row>
    <row r="18" spans="1:11" ht="49.5" customHeight="1" x14ac:dyDescent="0.25">
      <c r="A18" s="18">
        <v>3</v>
      </c>
      <c r="B18" s="20" t="s">
        <v>132</v>
      </c>
      <c r="C18" s="12" t="s">
        <v>133</v>
      </c>
      <c r="D18" s="12" t="s">
        <v>134</v>
      </c>
      <c r="E18" s="12" t="s">
        <v>135</v>
      </c>
      <c r="F18" s="13" t="s">
        <v>17</v>
      </c>
      <c r="G18" s="13">
        <v>5</v>
      </c>
      <c r="H18" s="13">
        <v>5</v>
      </c>
      <c r="I18" s="13" t="s">
        <v>17</v>
      </c>
      <c r="J18" s="13"/>
      <c r="K18" s="14">
        <v>0.77759999999999996</v>
      </c>
    </row>
    <row r="19" spans="1:11" ht="49.5" customHeight="1" x14ac:dyDescent="0.25">
      <c r="A19" s="18">
        <v>3</v>
      </c>
      <c r="B19" s="20" t="s">
        <v>136</v>
      </c>
      <c r="C19" s="12" t="s">
        <v>137</v>
      </c>
      <c r="D19" s="12" t="s">
        <v>138</v>
      </c>
      <c r="E19" s="12" t="s">
        <v>139</v>
      </c>
      <c r="F19" s="13" t="s">
        <v>17</v>
      </c>
      <c r="G19" s="13">
        <v>4</v>
      </c>
      <c r="H19" s="13">
        <v>5</v>
      </c>
      <c r="I19" s="13"/>
      <c r="J19" s="12" t="s">
        <v>140</v>
      </c>
      <c r="K19" s="14">
        <v>0.66700000000000004</v>
      </c>
    </row>
    <row r="20" spans="1:11" ht="49.5" customHeight="1" x14ac:dyDescent="0.25">
      <c r="A20" s="18">
        <v>3</v>
      </c>
      <c r="B20" s="20" t="s">
        <v>141</v>
      </c>
      <c r="C20" s="12" t="s">
        <v>142</v>
      </c>
      <c r="D20" s="12" t="s">
        <v>143</v>
      </c>
      <c r="E20" s="12" t="s">
        <v>80</v>
      </c>
      <c r="F20" s="13" t="s">
        <v>17</v>
      </c>
      <c r="G20" s="13">
        <v>5</v>
      </c>
      <c r="H20" s="13">
        <v>4</v>
      </c>
      <c r="I20" s="13" t="s">
        <v>17</v>
      </c>
      <c r="J20" s="12" t="s">
        <v>144</v>
      </c>
      <c r="K20" s="14">
        <v>0.76380000000000003</v>
      </c>
    </row>
    <row r="22" spans="1:11" x14ac:dyDescent="0.25">
      <c r="A22" s="5" t="s">
        <v>82</v>
      </c>
      <c r="B22" s="5"/>
      <c r="C22" s="5"/>
      <c r="D22" s="5"/>
      <c r="E22" s="5"/>
      <c r="F22" s="5"/>
      <c r="G22" s="21">
        <f>IFERROR(AVERAGE(G4:G20),"-")</f>
        <v>4.7333333333333334</v>
      </c>
      <c r="H22" s="21">
        <f>IFERROR(AVERAGE(H4:H20),"-")</f>
        <v>4.5333333333333332</v>
      </c>
      <c r="K22" s="22">
        <f>IFERROR(AVERAGE(K4:K20),"-")</f>
        <v>0.82673999999999992</v>
      </c>
    </row>
  </sheetData>
  <mergeCells count="5">
    <mergeCell ref="A1:J1"/>
    <mergeCell ref="A3:J3"/>
    <mergeCell ref="A9:J9"/>
    <mergeCell ref="A15:J15"/>
    <mergeCell ref="A22:F22"/>
  </mergeCells>
  <dataValidations count="2">
    <dataValidation type="whole" allowBlank="1" errorTitle="Valor no válido" error="Puntuación entre 1 y 5" sqref="G4:H20" xr:uid="{00000000-0002-0000-0100-000000000000}">
      <formula1>1</formula1>
      <formula2>5</formula2>
    </dataValidation>
    <dataValidation type="list" allowBlank="1" errorTitle="Valor no válido" error="Solo S o N" sqref="F4:F20 I4:I20" xr:uid="{00000000-0002-0000-0100-000001000000}">
      <formula1>"S,N"</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F2F2F"/>
  </sheetPr>
  <dimension ref="A1:C27"/>
  <sheetViews>
    <sheetView zoomScaleNormal="100" workbookViewId="0">
      <selection activeCell="A27" sqref="A27:C27"/>
    </sheetView>
  </sheetViews>
  <sheetFormatPr baseColWidth="10" defaultColWidth="9.140625" defaultRowHeight="15" x14ac:dyDescent="0.25"/>
  <cols>
    <col min="1" max="1" width="5" customWidth="1"/>
    <col min="2" max="2" width="22" customWidth="1"/>
    <col min="3" max="3" width="70" customWidth="1"/>
  </cols>
  <sheetData>
    <row r="1" spans="1:3" ht="30" customHeight="1" x14ac:dyDescent="0.25">
      <c r="A1" s="7" t="s">
        <v>145</v>
      </c>
      <c r="B1" s="7"/>
      <c r="C1" s="7"/>
    </row>
    <row r="3" spans="1:3" ht="24" customHeight="1" x14ac:dyDescent="0.25">
      <c r="A3" s="3" t="s">
        <v>146</v>
      </c>
      <c r="B3" s="3"/>
      <c r="C3" s="3"/>
    </row>
    <row r="4" spans="1:3" ht="36" customHeight="1" x14ac:dyDescent="0.25">
      <c r="A4" s="2" t="s">
        <v>147</v>
      </c>
      <c r="B4" s="2"/>
      <c r="C4" s="2"/>
    </row>
    <row r="5" spans="1:3" ht="30" customHeight="1" x14ac:dyDescent="0.25">
      <c r="A5" s="24"/>
      <c r="B5" s="25" t="s">
        <v>148</v>
      </c>
      <c r="C5" s="23" t="s">
        <v>149</v>
      </c>
    </row>
    <row r="6" spans="1:3" ht="30" customHeight="1" x14ac:dyDescent="0.25">
      <c r="A6" s="24"/>
      <c r="B6" s="25" t="s">
        <v>150</v>
      </c>
      <c r="C6" s="23" t="s">
        <v>151</v>
      </c>
    </row>
    <row r="7" spans="1:3" ht="30" customHeight="1" x14ac:dyDescent="0.25">
      <c r="A7" s="24"/>
      <c r="B7" s="25" t="s">
        <v>152</v>
      </c>
      <c r="C7" s="23" t="s">
        <v>153</v>
      </c>
    </row>
    <row r="8" spans="1:3" ht="30" customHeight="1" x14ac:dyDescent="0.25">
      <c r="A8" s="24"/>
      <c r="B8" s="25" t="s">
        <v>154</v>
      </c>
      <c r="C8" s="23" t="s">
        <v>155</v>
      </c>
    </row>
    <row r="9" spans="1:3" ht="30" customHeight="1" x14ac:dyDescent="0.25">
      <c r="A9" s="24"/>
      <c r="B9" s="25" t="s">
        <v>156</v>
      </c>
      <c r="C9" s="23" t="s">
        <v>157</v>
      </c>
    </row>
    <row r="11" spans="1:3" ht="24" customHeight="1" x14ac:dyDescent="0.25">
      <c r="A11" s="3" t="s">
        <v>158</v>
      </c>
      <c r="B11" s="3"/>
      <c r="C11" s="3"/>
    </row>
    <row r="12" spans="1:3" ht="36" customHeight="1" x14ac:dyDescent="0.25">
      <c r="A12" s="2" t="s">
        <v>159</v>
      </c>
      <c r="B12" s="2"/>
      <c r="C12" s="2"/>
    </row>
    <row r="13" spans="1:3" ht="30" customHeight="1" x14ac:dyDescent="0.25">
      <c r="A13" s="24"/>
      <c r="B13" s="25" t="s">
        <v>148</v>
      </c>
      <c r="C13" s="23" t="s">
        <v>160</v>
      </c>
    </row>
    <row r="14" spans="1:3" ht="30" customHeight="1" x14ac:dyDescent="0.25">
      <c r="A14" s="24"/>
      <c r="B14" s="25" t="s">
        <v>150</v>
      </c>
      <c r="C14" s="23" t="s">
        <v>161</v>
      </c>
    </row>
    <row r="15" spans="1:3" ht="30" customHeight="1" x14ac:dyDescent="0.25">
      <c r="A15" s="24"/>
      <c r="B15" s="25" t="s">
        <v>152</v>
      </c>
      <c r="C15" s="23" t="s">
        <v>162</v>
      </c>
    </row>
    <row r="16" spans="1:3" ht="30" customHeight="1" x14ac:dyDescent="0.25">
      <c r="A16" s="24"/>
      <c r="B16" s="25" t="s">
        <v>154</v>
      </c>
      <c r="C16" s="23" t="s">
        <v>163</v>
      </c>
    </row>
    <row r="17" spans="1:3" ht="30" customHeight="1" x14ac:dyDescent="0.25">
      <c r="A17" s="24"/>
      <c r="B17" s="25" t="s">
        <v>156</v>
      </c>
      <c r="C17" s="23" t="s">
        <v>164</v>
      </c>
    </row>
    <row r="19" spans="1:3" ht="24" customHeight="1" x14ac:dyDescent="0.25">
      <c r="A19" s="3" t="s">
        <v>165</v>
      </c>
      <c r="B19" s="3"/>
      <c r="C19" s="3"/>
    </row>
    <row r="20" spans="1:3" ht="48" customHeight="1" x14ac:dyDescent="0.25">
      <c r="A20" s="2" t="s">
        <v>166</v>
      </c>
      <c r="B20" s="2"/>
      <c r="C20" s="2"/>
    </row>
    <row r="21" spans="1:3" ht="24" customHeight="1" x14ac:dyDescent="0.25">
      <c r="A21" s="1" t="s">
        <v>167</v>
      </c>
      <c r="B21" s="1"/>
      <c r="C21" s="1"/>
    </row>
    <row r="23" spans="1:3" ht="24" customHeight="1" x14ac:dyDescent="0.25">
      <c r="A23" s="3" t="s">
        <v>168</v>
      </c>
      <c r="B23" s="3"/>
      <c r="C23" s="3"/>
    </row>
    <row r="24" spans="1:3" ht="36" customHeight="1" x14ac:dyDescent="0.25">
      <c r="A24" s="2" t="s">
        <v>169</v>
      </c>
      <c r="B24" s="2"/>
      <c r="C24" s="2"/>
    </row>
    <row r="26" spans="1:3" ht="24" customHeight="1" x14ac:dyDescent="0.25">
      <c r="A26" s="3" t="s">
        <v>170</v>
      </c>
      <c r="B26" s="3"/>
      <c r="C26" s="3"/>
    </row>
    <row r="27" spans="1:3" ht="36" customHeight="1" x14ac:dyDescent="0.25">
      <c r="A27" s="2" t="s">
        <v>171</v>
      </c>
      <c r="B27" s="2"/>
      <c r="C27" s="2"/>
    </row>
  </sheetData>
  <mergeCells count="12">
    <mergeCell ref="A26:C26"/>
    <mergeCell ref="A27:C27"/>
    <mergeCell ref="A19:C19"/>
    <mergeCell ref="A20:C20"/>
    <mergeCell ref="A21:C21"/>
    <mergeCell ref="A23:C23"/>
    <mergeCell ref="A24:C24"/>
    <mergeCell ref="A1:C1"/>
    <mergeCell ref="A3:C3"/>
    <mergeCell ref="A4:C4"/>
    <mergeCell ref="A11:C11"/>
    <mergeCell ref="A12:C1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Castellano</vt:lpstr>
      <vt:lpstr>English</vt:lpstr>
      <vt:lpstr>Criterios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rodrigo valiente</cp:lastModifiedBy>
  <cp:revision>0</cp:revision>
  <dcterms:created xsi:type="dcterms:W3CDTF">2026-06-16T11:06:53Z</dcterms:created>
  <dcterms:modified xsi:type="dcterms:W3CDTF">2026-06-19T19:43:21Z</dcterms:modified>
  <dc:language>en-US</dc:language>
</cp:coreProperties>
</file>